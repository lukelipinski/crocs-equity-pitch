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elipinski/Documents/"/>
    </mc:Choice>
  </mc:AlternateContent>
  <xr:revisionPtr revIDLastSave="0" documentId="8_{33AF4B28-E21B-2043-91B4-9C4F09907C2D}" xr6:coauthVersionLast="47" xr6:coauthVersionMax="47" xr10:uidLastSave="{00000000-0000-0000-0000-000000000000}"/>
  <bookViews>
    <workbookView xWindow="0" yWindow="660" windowWidth="30240" windowHeight="18980" xr2:uid="{50195DA7-34A8-CF42-A9AA-975C7E4FBD84}"/>
  </bookViews>
  <sheets>
    <sheet name="Com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0" i="1" l="1"/>
  <c r="D24" i="1"/>
  <c r="D21" i="1"/>
  <c r="D20" i="1"/>
  <c r="T15" i="1"/>
  <c r="S15" i="1"/>
  <c r="T14" i="1"/>
  <c r="S14" i="1"/>
  <c r="T13" i="1"/>
  <c r="S13" i="1"/>
  <c r="T12" i="1"/>
  <c r="S12" i="1"/>
  <c r="P15" i="1"/>
  <c r="P14" i="1"/>
  <c r="P13" i="1"/>
  <c r="P12" i="1"/>
  <c r="O15" i="1"/>
  <c r="N15" i="1"/>
  <c r="M15" i="1"/>
  <c r="D27" i="1" s="1"/>
  <c r="O14" i="1"/>
  <c r="N14" i="1"/>
  <c r="M14" i="1"/>
  <c r="G27" i="1" s="1"/>
  <c r="O13" i="1"/>
  <c r="N13" i="1"/>
  <c r="M13" i="1"/>
  <c r="F27" i="1" s="1"/>
  <c r="F31" i="1" s="1"/>
  <c r="O12" i="1"/>
  <c r="N12" i="1"/>
  <c r="N16" i="1" s="1"/>
  <c r="M12" i="1"/>
  <c r="L15" i="1"/>
  <c r="L14" i="1"/>
  <c r="L13" i="1"/>
  <c r="L12" i="1"/>
  <c r="L16" i="1" s="1"/>
  <c r="U6" i="1"/>
  <c r="U7" i="1"/>
  <c r="U8" i="1"/>
  <c r="U9" i="1"/>
  <c r="U10" i="1"/>
  <c r="U5" i="1"/>
  <c r="D22" i="1" s="1"/>
  <c r="T6" i="1"/>
  <c r="T7" i="1"/>
  <c r="T8" i="1"/>
  <c r="T9" i="1"/>
  <c r="T10" i="1"/>
  <c r="T5" i="1"/>
  <c r="S6" i="1"/>
  <c r="S7" i="1"/>
  <c r="S8" i="1"/>
  <c r="S9" i="1"/>
  <c r="S10" i="1"/>
  <c r="S5" i="1"/>
  <c r="D31" i="1" l="1"/>
  <c r="D48" i="1"/>
  <c r="G31" i="1"/>
  <c r="F48" i="1"/>
  <c r="E48" i="1" s="1"/>
  <c r="O16" i="1"/>
  <c r="E28" i="1"/>
  <c r="E32" i="1" s="1"/>
  <c r="M16" i="1"/>
  <c r="E27" i="1"/>
  <c r="F28" i="1"/>
  <c r="F32" i="1" s="1"/>
  <c r="D28" i="1"/>
  <c r="G28" i="1"/>
  <c r="D35" i="1" l="1"/>
  <c r="D37" i="1" s="1"/>
  <c r="D38" i="1" s="1"/>
  <c r="E31" i="1"/>
  <c r="D49" i="1"/>
  <c r="D32" i="1"/>
  <c r="F49" i="1"/>
  <c r="E49" i="1" s="1"/>
  <c r="G32" i="1"/>
  <c r="D41" i="1" l="1"/>
  <c r="D40" i="1"/>
  <c r="D39" i="1"/>
  <c r="D43" i="1"/>
</calcChain>
</file>

<file path=xl/sharedStrings.xml><?xml version="1.0" encoding="utf-8"?>
<sst xmlns="http://schemas.openxmlformats.org/spreadsheetml/2006/main" count="89" uniqueCount="76">
  <si>
    <t>Crocs (CROX) - Comparable Company Analysis</t>
  </si>
  <si>
    <t>Source: Yahoo Finance Statistics, “Current” column (based on 16 Oct 2026 close); share prices = 19 Oct 2026 close; amounts in billions (Adidas in EUR)</t>
  </si>
  <si>
    <t>Company</t>
  </si>
  <si>
    <t>Ticker</t>
  </si>
  <si>
    <t>Currency</t>
  </si>
  <si>
    <t>Share price (19 Oct close)</t>
  </si>
  <si>
    <t>Market cap (bn)</t>
  </si>
  <si>
    <t>EV (bn)</t>
  </si>
  <si>
    <t>Revenue ttm (bn)</t>
  </si>
  <si>
    <t>Gross profit ttm (bn)</t>
  </si>
  <si>
    <t>EBITDA (bn)</t>
  </si>
  <si>
    <t>Net income ttm (bn)</t>
  </si>
  <si>
    <t>Diluted EPS ttm</t>
  </si>
  <si>
    <t>Trailing P/E</t>
  </si>
  <si>
    <t>Forward P/E</t>
  </si>
  <si>
    <t>EV/Revenue</t>
  </si>
  <si>
    <t>EV/EBITDA</t>
  </si>
  <si>
    <t>Qtr revenue growth (yoy)</t>
  </si>
  <si>
    <t>Total cash (bn)</t>
  </si>
  <si>
    <t>Total debt (bn)</t>
  </si>
  <si>
    <t>Crocs</t>
  </si>
  <si>
    <t>CROX</t>
  </si>
  <si>
    <t>USD</t>
  </si>
  <si>
    <t>Birkenstock</t>
  </si>
  <si>
    <t>BIRK</t>
  </si>
  <si>
    <t>Deckers</t>
  </si>
  <si>
    <t>DECK</t>
  </si>
  <si>
    <t>VF Corp</t>
  </si>
  <si>
    <t>VFC</t>
  </si>
  <si>
    <t>Nike</t>
  </si>
  <si>
    <t>NKE</t>
  </si>
  <si>
    <t>Adidas</t>
  </si>
  <si>
    <t>ADS.DE</t>
  </si>
  <si>
    <t>EUR</t>
  </si>
  <si>
    <t>Gross margin</t>
  </si>
  <si>
    <t>EBITDA margin</t>
  </si>
  <si>
    <t>Net debt (bn)</t>
  </si>
  <si>
    <t>Peer median</t>
  </si>
  <si>
    <t>Peer mean</t>
  </si>
  <si>
    <t>Peer high</t>
  </si>
  <si>
    <t>Peer low</t>
  </si>
  <si>
    <t>Crocs vs peer median</t>
  </si>
  <si>
    <t>Crocs inputs</t>
  </si>
  <si>
    <t>Forward EPS</t>
  </si>
  <si>
    <t>Shares (bn)</t>
  </si>
  <si>
    <t>Current price</t>
  </si>
  <si>
    <t>Implied share price</t>
  </si>
  <si>
    <t>Route A (Fwd P/E)</t>
  </si>
  <si>
    <t>Route B (EV/EBITDA)</t>
  </si>
  <si>
    <t>Upside vs current price</t>
  </si>
  <si>
    <t>Target price</t>
  </si>
  <si>
    <t>Blended median (50/50)</t>
  </si>
  <si>
    <t>Discount applied</t>
  </si>
  <si>
    <t>Target price (unrounded)</t>
  </si>
  <si>
    <t>Target price (rounded)</t>
  </si>
  <si>
    <t>Implied forward P/E</t>
  </si>
  <si>
    <t>Implied EV/EBITDA</t>
  </si>
  <si>
    <t>Analyst avg target</t>
  </si>
  <si>
    <t>Mine vs analysts</t>
  </si>
  <si>
    <t>Football field (chart data)</t>
  </si>
  <si>
    <t>Method</t>
  </si>
  <si>
    <t>Route A: Fwd P/E (peer low-high)</t>
  </si>
  <si>
    <t>Route B: EV/EBITDA (peer low-high)</t>
  </si>
  <si>
    <t>Analyst targets (low-high)</t>
  </si>
  <si>
    <t>Low</t>
  </si>
  <si>
    <t>Range</t>
  </si>
  <si>
    <t>High</t>
  </si>
  <si>
    <t>Key assumptions</t>
  </si>
  <si>
    <t>1. Data: Yahoo Finance Statistics “Current” column (16 Oct 2026 close basis); Crocs current price $120.18 = 19 Oct 2026 close</t>
  </si>
  <si>
    <t>2. Peers: Birkenstock, Deckers, VF Corp, Nike, Adidas - Crocs excluded from peer statistics</t>
  </si>
  <si>
    <t>3. Medians used, not means - Nike’s 21x forward P/E distorts the mean and high</t>
  </si>
  <si>
    <t>4. Target = 50/50 blend of peer-median Fwd P/E and EV/EBITDA prices, less a 15% discount</t>
  </si>
  <si>
    <t>5. Discount: slower growth (2.6% vs 5.7%), $1.52B net debt, HEYDUDE risk; implies 9.15x fwd P/E = top of Crocs’ own 1-year range (6.58x-9.17x)</t>
  </si>
  <si>
    <t>6. Forward EPS $14.98 = $123.14 (16 Oct close) / 8.22 fwd P/E; shares 47.95M (Yahoo); analyst targets $95-$163, average $138.75 (Yahoo, 18 Oct 2026)</t>
  </si>
  <si>
    <t>7. Blue = typed input, black = formula; Adidas figures in EUR (multiples unaffected) and reported under IFRS</t>
  </si>
  <si>
    <t>8. Green triangles are intentional (peer formulas deliberately skip the Crocs row)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</si>
</sst>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b/>
      <sz val="12"/>
      <color rgb="FF000000"/>
      <name val="Aptos Narrow"/>
      <scheme val="minor"/>
    </font>
    <font>
      <b/>
      <sz val="12"/>
      <color theme="1"/>
      <name val="Aptos Narrow"/>
      <scheme val="minor"/>
    </font>
    <font>
      <sz val="12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0" fillId="0" borderId="0" xfId="1" applyNumberFormat="1" applyFont="1"/>
    <xf numFmtId="2" fontId="0" fillId="0" borderId="0" xfId="0" applyNumberFormat="1"/>
    <xf numFmtId="2" fontId="5" fillId="0" borderId="0" xfId="0" applyNumberFormat="1" applyFont="1"/>
    <xf numFmtId="0" fontId="6" fillId="0" borderId="0" xfId="0" applyFont="1"/>
    <xf numFmtId="2" fontId="6" fillId="0" borderId="0" xfId="0" applyNumberFormat="1" applyFont="1"/>
    <xf numFmtId="10" fontId="6" fillId="0" borderId="0" xfId="0" applyNumberFormat="1" applyFont="1"/>
    <xf numFmtId="9" fontId="6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effectLst/>
              </a:rPr>
              <a:t>Crocs valuation range ($) - current price $120.18, target $137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Comps!$D$47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Comps!$A$48:$A$50</c:f>
              <c:strCache>
                <c:ptCount val="3"/>
                <c:pt idx="0">
                  <c:v>Route A: Fwd P/E (peer low-high)</c:v>
                </c:pt>
                <c:pt idx="1">
                  <c:v>Route B: EV/EBITDA (peer low-high)</c:v>
                </c:pt>
                <c:pt idx="2">
                  <c:v>Analyst targets (low-high)</c:v>
                </c:pt>
              </c:strCache>
            </c:strRef>
          </c:cat>
          <c:val>
            <c:numRef>
              <c:f>Comps!$D$48:$D$50</c:f>
              <c:numCache>
                <c:formatCode>0.00</c:formatCode>
                <c:ptCount val="3"/>
                <c:pt idx="0">
                  <c:v>159.54270072992699</c:v>
                </c:pt>
                <c:pt idx="1">
                  <c:v>101.44193117831075</c:v>
                </c:pt>
                <c:pt idx="2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7F-B34B-BCD6-D2AED46347A7}"/>
            </c:ext>
          </c:extLst>
        </c:ser>
        <c:ser>
          <c:idx val="1"/>
          <c:order val="1"/>
          <c:tx>
            <c:strRef>
              <c:f>Comps!$E$47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Comps!$A$48:$A$50</c:f>
              <c:strCache>
                <c:ptCount val="3"/>
                <c:pt idx="0">
                  <c:v>Route A: Fwd P/E (peer low-high)</c:v>
                </c:pt>
                <c:pt idx="1">
                  <c:v>Route B: EV/EBITDA (peer low-high)</c:v>
                </c:pt>
                <c:pt idx="2">
                  <c:v>Analyst targets (low-high)</c:v>
                </c:pt>
              </c:strCache>
            </c:strRef>
          </c:cat>
          <c:val>
            <c:numRef>
              <c:f>Comps!$E$48:$E$50</c:f>
              <c:numCache>
                <c:formatCode>0.00</c:formatCode>
                <c:ptCount val="3"/>
                <c:pt idx="0">
                  <c:v>155.19834549878345</c:v>
                </c:pt>
                <c:pt idx="1">
                  <c:v>102.02567674661104</c:v>
                </c:pt>
                <c:pt idx="2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7F-B34B-BCD6-D2AED4634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8438848"/>
        <c:axId val="2087044416"/>
      </c:barChart>
      <c:catAx>
        <c:axId val="20884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044416"/>
        <c:crosses val="autoZero"/>
        <c:auto val="1"/>
        <c:lblAlgn val="ctr"/>
        <c:lblOffset val="100"/>
        <c:noMultiLvlLbl val="0"/>
      </c:catAx>
      <c:valAx>
        <c:axId val="2087044416"/>
        <c:scaling>
          <c:orientation val="minMax"/>
          <c:max val="340"/>
          <c:min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43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51</xdr:row>
      <xdr:rowOff>0</xdr:rowOff>
    </xdr:from>
    <xdr:to>
      <xdr:col>7</xdr:col>
      <xdr:colOff>0</xdr:colOff>
      <xdr:row>61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A28CBE-4860-3322-6949-F3ADA2B28D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588F-B105-124C-ABF3-C4A7CAC75A06}">
  <dimension ref="A1:U50"/>
  <sheetViews>
    <sheetView tabSelected="1" topLeftCell="A23" workbookViewId="0">
      <selection activeCell="L66" sqref="L66"/>
    </sheetView>
  </sheetViews>
  <sheetFormatPr baseColWidth="10" defaultRowHeight="16" x14ac:dyDescent="0.2"/>
  <cols>
    <col min="1" max="1" width="10.6640625" bestFit="1" customWidth="1"/>
    <col min="2" max="2" width="7.33203125" bestFit="1" customWidth="1"/>
    <col min="3" max="3" width="8.6640625" bestFit="1" customWidth="1"/>
    <col min="4" max="4" width="22.5" bestFit="1" customWidth="1"/>
    <col min="5" max="5" width="14" bestFit="1" customWidth="1"/>
    <col min="6" max="6" width="10" bestFit="1" customWidth="1"/>
    <col min="7" max="7" width="15.1640625" bestFit="1" customWidth="1"/>
    <col min="8" max="8" width="18.1640625" bestFit="1" customWidth="1"/>
    <col min="10" max="10" width="17.83203125" bestFit="1" customWidth="1"/>
    <col min="11" max="11" width="14" bestFit="1" customWidth="1"/>
    <col min="12" max="12" width="10.33203125" bestFit="1" customWidth="1"/>
    <col min="13" max="14" width="11" bestFit="1" customWidth="1"/>
    <col min="15" max="15" width="10" bestFit="1" customWidth="1"/>
    <col min="16" max="16" width="21.1640625" bestFit="1" customWidth="1"/>
    <col min="17" max="17" width="13.1640625" bestFit="1" customWidth="1"/>
    <col min="18" max="18" width="12.83203125" bestFit="1" customWidth="1"/>
    <col min="19" max="19" width="12.33203125" bestFit="1" customWidth="1"/>
    <col min="20" max="20" width="13.33203125" bestFit="1" customWidth="1"/>
    <col min="21" max="21" width="11.83203125" bestFit="1" customWidth="1"/>
  </cols>
  <sheetData>
    <row r="1" spans="1:21" x14ac:dyDescent="0.2">
      <c r="A1" t="s">
        <v>0</v>
      </c>
    </row>
    <row r="2" spans="1:21" x14ac:dyDescent="0.2">
      <c r="A2" s="2" t="s">
        <v>1</v>
      </c>
    </row>
    <row r="3" spans="1:21" x14ac:dyDescent="0.2">
      <c r="S3" s="4"/>
    </row>
    <row r="4" spans="1:21" s="4" customForma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4" t="s">
        <v>34</v>
      </c>
      <c r="T4" s="4" t="s">
        <v>35</v>
      </c>
      <c r="U4" s="4" t="s">
        <v>36</v>
      </c>
    </row>
    <row r="5" spans="1:21" x14ac:dyDescent="0.2">
      <c r="A5" s="1" t="s">
        <v>20</v>
      </c>
      <c r="B5" s="1" t="s">
        <v>21</v>
      </c>
      <c r="C5" s="1" t="s">
        <v>22</v>
      </c>
      <c r="D5" s="8">
        <v>120.18</v>
      </c>
      <c r="E5" s="8">
        <v>5.9</v>
      </c>
      <c r="F5" s="8">
        <v>7.42</v>
      </c>
      <c r="G5" s="8">
        <v>4.05</v>
      </c>
      <c r="H5" s="8">
        <v>2.33</v>
      </c>
      <c r="I5" s="8">
        <v>0.92654000000000003</v>
      </c>
      <c r="J5" s="8">
        <v>0.59341999999999995</v>
      </c>
      <c r="K5" s="8">
        <v>11.41</v>
      </c>
      <c r="L5" s="9">
        <v>11.06</v>
      </c>
      <c r="M5" s="9">
        <v>8.2200000000000006</v>
      </c>
      <c r="N5" s="9">
        <v>1.83</v>
      </c>
      <c r="O5" s="9">
        <v>8.02</v>
      </c>
      <c r="P5" s="10">
        <v>2.5999999999999999E-2</v>
      </c>
      <c r="Q5" s="8">
        <v>0.17027999999999999</v>
      </c>
      <c r="R5" s="8">
        <v>1.69</v>
      </c>
      <c r="S5" s="5">
        <f>H5/G5</f>
        <v>0.57530864197530873</v>
      </c>
      <c r="T5" s="5">
        <f>I5/G5</f>
        <v>0.22877530864197532</v>
      </c>
      <c r="U5">
        <f>R5-Q5</f>
        <v>1.51972</v>
      </c>
    </row>
    <row r="6" spans="1:21" x14ac:dyDescent="0.2">
      <c r="A6" s="1" t="s">
        <v>23</v>
      </c>
      <c r="B6" s="1" t="s">
        <v>24</v>
      </c>
      <c r="C6" s="1" t="s">
        <v>22</v>
      </c>
      <c r="D6" s="8">
        <v>32.71</v>
      </c>
      <c r="E6" s="8">
        <v>5.19</v>
      </c>
      <c r="F6" s="8">
        <v>6.6</v>
      </c>
      <c r="G6" s="8">
        <v>2.27</v>
      </c>
      <c r="H6" s="8">
        <v>1.3</v>
      </c>
      <c r="I6" s="8">
        <v>0.64759</v>
      </c>
      <c r="J6" s="8">
        <v>0.33585999999999999</v>
      </c>
      <c r="K6" s="8">
        <v>2.13</v>
      </c>
      <c r="L6" s="9">
        <v>14.98</v>
      </c>
      <c r="M6" s="9">
        <v>11.55</v>
      </c>
      <c r="N6" s="9">
        <v>2.54</v>
      </c>
      <c r="O6" s="9">
        <v>8.56</v>
      </c>
      <c r="P6" s="10">
        <v>0.13300000000000001</v>
      </c>
      <c r="Q6" s="8">
        <v>0.69364000000000003</v>
      </c>
      <c r="R6" s="8">
        <v>1.93</v>
      </c>
      <c r="S6" s="5">
        <f t="shared" ref="S6:S10" si="0">H6/G6</f>
        <v>0.57268722466960353</v>
      </c>
      <c r="T6" s="5">
        <f t="shared" ref="T6:T10" si="1">I6/G6</f>
        <v>0.28528193832599119</v>
      </c>
      <c r="U6">
        <f t="shared" ref="U6:U10" si="2">R6-Q6</f>
        <v>1.2363599999999999</v>
      </c>
    </row>
    <row r="7" spans="1:21" x14ac:dyDescent="0.2">
      <c r="A7" s="1" t="s">
        <v>25</v>
      </c>
      <c r="B7" s="1" t="s">
        <v>26</v>
      </c>
      <c r="C7" s="1" t="s">
        <v>22</v>
      </c>
      <c r="D7" s="8">
        <v>87.24</v>
      </c>
      <c r="E7" s="8">
        <v>10.7</v>
      </c>
      <c r="F7" s="8">
        <v>9.57</v>
      </c>
      <c r="G7" s="8">
        <v>5.53</v>
      </c>
      <c r="H7" s="8">
        <v>3.19</v>
      </c>
      <c r="I7" s="8">
        <v>1.33</v>
      </c>
      <c r="J7" s="8">
        <v>1.01</v>
      </c>
      <c r="K7" s="8">
        <v>7.07</v>
      </c>
      <c r="L7" s="9">
        <v>11.36</v>
      </c>
      <c r="M7" s="9">
        <v>10.65</v>
      </c>
      <c r="N7" s="9">
        <v>1.73</v>
      </c>
      <c r="O7" s="9">
        <v>6.89</v>
      </c>
      <c r="P7" s="10">
        <v>5.7000000000000002E-2</v>
      </c>
      <c r="Q7" s="8">
        <v>1.6</v>
      </c>
      <c r="R7" s="8">
        <v>0.47233000000000003</v>
      </c>
      <c r="S7" s="5">
        <f t="shared" si="0"/>
        <v>0.57685352622061481</v>
      </c>
      <c r="T7" s="5">
        <f t="shared" si="1"/>
        <v>0.24050632911392406</v>
      </c>
      <c r="U7">
        <f t="shared" si="2"/>
        <v>-1.1276700000000002</v>
      </c>
    </row>
    <row r="8" spans="1:21" x14ac:dyDescent="0.2">
      <c r="A8" s="1" t="s">
        <v>27</v>
      </c>
      <c r="B8" s="1" t="s">
        <v>28</v>
      </c>
      <c r="C8" s="1" t="s">
        <v>22</v>
      </c>
      <c r="D8" s="8">
        <v>17.14</v>
      </c>
      <c r="E8" s="8">
        <v>5.32</v>
      </c>
      <c r="F8" s="8">
        <v>9.6</v>
      </c>
      <c r="G8" s="8">
        <v>9.51</v>
      </c>
      <c r="H8" s="8">
        <v>5.24</v>
      </c>
      <c r="I8" s="8">
        <v>0.89388000000000001</v>
      </c>
      <c r="J8" s="8">
        <v>0.27417999999999998</v>
      </c>
      <c r="K8" s="8">
        <v>0.68</v>
      </c>
      <c r="L8" s="9">
        <v>19.59</v>
      </c>
      <c r="M8" s="9">
        <v>12.29</v>
      </c>
      <c r="N8" s="9">
        <v>1.01</v>
      </c>
      <c r="O8" s="9">
        <v>12.17</v>
      </c>
      <c r="P8" s="10">
        <v>-5.1999999999999998E-2</v>
      </c>
      <c r="Q8" s="8">
        <v>0.67005999999999999</v>
      </c>
      <c r="R8" s="8">
        <v>4.95</v>
      </c>
      <c r="S8" s="5">
        <f t="shared" si="0"/>
        <v>0.55099894847528919</v>
      </c>
      <c r="T8" s="5">
        <f t="shared" si="1"/>
        <v>9.3993690851735021E-2</v>
      </c>
      <c r="U8">
        <f t="shared" si="2"/>
        <v>4.2799399999999999</v>
      </c>
    </row>
    <row r="9" spans="1:21" x14ac:dyDescent="0.2">
      <c r="A9" s="1" t="s">
        <v>29</v>
      </c>
      <c r="B9" s="1" t="s">
        <v>30</v>
      </c>
      <c r="C9" s="1" t="s">
        <v>22</v>
      </c>
      <c r="D9" s="8">
        <v>37.21</v>
      </c>
      <c r="E9" s="8">
        <v>53.55</v>
      </c>
      <c r="F9" s="8">
        <v>55.56</v>
      </c>
      <c r="G9" s="8">
        <v>45.89</v>
      </c>
      <c r="H9" s="8">
        <v>19.920000000000002</v>
      </c>
      <c r="I9" s="8">
        <v>4.8899999999999997</v>
      </c>
      <c r="J9" s="8">
        <v>3.09</v>
      </c>
      <c r="K9" s="8">
        <v>2.08</v>
      </c>
      <c r="L9" s="9">
        <v>17.190000000000001</v>
      </c>
      <c r="M9" s="9">
        <v>21.01</v>
      </c>
      <c r="N9" s="9">
        <v>1.2</v>
      </c>
      <c r="O9" s="9">
        <v>12.09</v>
      </c>
      <c r="P9" s="10">
        <v>-4.2999999999999997E-2</v>
      </c>
      <c r="Q9" s="8">
        <v>8.3699999999999992</v>
      </c>
      <c r="R9" s="8">
        <v>11.13</v>
      </c>
      <c r="S9" s="5">
        <f t="shared" si="0"/>
        <v>0.43408149923730666</v>
      </c>
      <c r="T9" s="5">
        <f t="shared" si="1"/>
        <v>0.106559163216387</v>
      </c>
      <c r="U9">
        <f t="shared" si="2"/>
        <v>2.7600000000000016</v>
      </c>
    </row>
    <row r="10" spans="1:21" x14ac:dyDescent="0.2">
      <c r="A10" s="1" t="s">
        <v>31</v>
      </c>
      <c r="B10" s="1" t="s">
        <v>32</v>
      </c>
      <c r="C10" s="1" t="s">
        <v>33</v>
      </c>
      <c r="D10" s="8">
        <v>157.9</v>
      </c>
      <c r="E10" s="8">
        <v>25.71</v>
      </c>
      <c r="F10" s="8">
        <v>29.87</v>
      </c>
      <c r="G10" s="8">
        <v>26.04</v>
      </c>
      <c r="H10" s="8">
        <v>13.43</v>
      </c>
      <c r="I10" s="8">
        <v>2.66</v>
      </c>
      <c r="J10" s="8">
        <v>1.38</v>
      </c>
      <c r="K10" s="8">
        <v>7.8</v>
      </c>
      <c r="L10" s="9">
        <v>18.829999999999998</v>
      </c>
      <c r="M10" s="9">
        <v>11.83</v>
      </c>
      <c r="N10" s="9">
        <v>1.1499999999999999</v>
      </c>
      <c r="O10" s="9">
        <v>9.1</v>
      </c>
      <c r="P10" s="10">
        <v>0.13300000000000001</v>
      </c>
      <c r="Q10" s="8">
        <v>1.56</v>
      </c>
      <c r="R10" s="8">
        <v>5.98</v>
      </c>
      <c r="S10" s="5">
        <f t="shared" si="0"/>
        <v>0.51574500768049159</v>
      </c>
      <c r="T10" s="5">
        <f t="shared" si="1"/>
        <v>0.10215053763440861</v>
      </c>
      <c r="U10">
        <f t="shared" si="2"/>
        <v>4.42</v>
      </c>
    </row>
    <row r="11" spans="1:21" x14ac:dyDescent="0.2">
      <c r="L11" s="6"/>
      <c r="M11" s="6"/>
      <c r="N11" s="6"/>
      <c r="O11" s="6"/>
    </row>
    <row r="12" spans="1:21" x14ac:dyDescent="0.2">
      <c r="A12" s="3" t="s">
        <v>37</v>
      </c>
      <c r="L12" s="6">
        <f>MEDIAN(L6:L10)</f>
        <v>17.190000000000001</v>
      </c>
      <c r="M12" s="6">
        <f t="shared" ref="M12:O12" si="3">MEDIAN(M6:M10)</f>
        <v>11.83</v>
      </c>
      <c r="N12" s="6">
        <f t="shared" si="3"/>
        <v>1.2</v>
      </c>
      <c r="O12" s="6">
        <f t="shared" si="3"/>
        <v>9.1</v>
      </c>
      <c r="P12" s="5">
        <f>MEDIAN(P6:P10)</f>
        <v>5.7000000000000002E-2</v>
      </c>
      <c r="S12" s="5">
        <f t="shared" ref="S12:T12" si="4">MEDIAN(S6:S10)</f>
        <v>0.55099894847528919</v>
      </c>
      <c r="T12" s="5">
        <f t="shared" si="4"/>
        <v>0.106559163216387</v>
      </c>
    </row>
    <row r="13" spans="1:21" x14ac:dyDescent="0.2">
      <c r="A13" s="3" t="s">
        <v>38</v>
      </c>
      <c r="L13" s="6">
        <f>AVERAGE(L6:L10)</f>
        <v>16.39</v>
      </c>
      <c r="M13" s="6">
        <f t="shared" ref="M13:O13" si="5">AVERAGE(M6:M10)</f>
        <v>13.465999999999999</v>
      </c>
      <c r="N13" s="6">
        <f t="shared" si="5"/>
        <v>1.5259999999999998</v>
      </c>
      <c r="O13" s="6">
        <f t="shared" si="5"/>
        <v>9.7619999999999987</v>
      </c>
      <c r="P13" s="5">
        <f>AVERAGE(P6:P10)</f>
        <v>4.5600000000000009E-2</v>
      </c>
      <c r="S13" s="5">
        <f t="shared" ref="S13:T13" si="6">AVERAGE(S6:S10)</f>
        <v>0.53007324125666122</v>
      </c>
      <c r="T13" s="5">
        <f t="shared" si="6"/>
        <v>0.1656983318284892</v>
      </c>
    </row>
    <row r="14" spans="1:21" x14ac:dyDescent="0.2">
      <c r="A14" s="3" t="s">
        <v>39</v>
      </c>
      <c r="L14" s="6">
        <f>MAX(L6:L10)</f>
        <v>19.59</v>
      </c>
      <c r="M14" s="6">
        <f t="shared" ref="M14:O14" si="7">MAX(M6:M10)</f>
        <v>21.01</v>
      </c>
      <c r="N14" s="6">
        <f t="shared" si="7"/>
        <v>2.54</v>
      </c>
      <c r="O14" s="6">
        <f t="shared" si="7"/>
        <v>12.17</v>
      </c>
      <c r="P14" s="5">
        <f>MAX(P6:P10)</f>
        <v>0.13300000000000001</v>
      </c>
      <c r="S14" s="5">
        <f t="shared" ref="S14:T14" si="8">MAX(S6:S10)</f>
        <v>0.57685352622061481</v>
      </c>
      <c r="T14" s="5">
        <f t="shared" si="8"/>
        <v>0.28528193832599119</v>
      </c>
    </row>
    <row r="15" spans="1:21" x14ac:dyDescent="0.2">
      <c r="A15" s="3" t="s">
        <v>40</v>
      </c>
      <c r="L15" s="6">
        <f>MIN(L6:L10)</f>
        <v>11.36</v>
      </c>
      <c r="M15" s="6">
        <f t="shared" ref="M15:O15" si="9">MIN(M6:M10)</f>
        <v>10.65</v>
      </c>
      <c r="N15" s="6">
        <f t="shared" si="9"/>
        <v>1.01</v>
      </c>
      <c r="O15" s="6">
        <f t="shared" si="9"/>
        <v>6.89</v>
      </c>
      <c r="P15" s="5">
        <f>MIN(P6:P10)</f>
        <v>-5.1999999999999998E-2</v>
      </c>
      <c r="S15" s="5">
        <f t="shared" ref="S15:T15" si="10">MIN(S6:S10)</f>
        <v>0.43408149923730666</v>
      </c>
      <c r="T15" s="5">
        <f t="shared" si="10"/>
        <v>9.3993690851735021E-2</v>
      </c>
    </row>
    <row r="16" spans="1:21" x14ac:dyDescent="0.2">
      <c r="A16" s="3" t="s">
        <v>41</v>
      </c>
      <c r="L16" s="5">
        <f>L5/L12-1</f>
        <v>-0.35660267597440376</v>
      </c>
      <c r="M16" s="5">
        <f t="shared" ref="M16:O16" si="11">M5/M12-1</f>
        <v>-0.30515638207945894</v>
      </c>
      <c r="N16" s="5">
        <f t="shared" si="11"/>
        <v>0.52500000000000013</v>
      </c>
      <c r="O16" s="5">
        <f t="shared" si="11"/>
        <v>-0.1186813186813187</v>
      </c>
    </row>
    <row r="19" spans="1:7" x14ac:dyDescent="0.2">
      <c r="A19" s="3" t="s">
        <v>42</v>
      </c>
    </row>
    <row r="20" spans="1:7" x14ac:dyDescent="0.2">
      <c r="A20" s="2" t="s">
        <v>43</v>
      </c>
      <c r="D20">
        <f>123.14/M5</f>
        <v>14.980535279805352</v>
      </c>
    </row>
    <row r="21" spans="1:7" x14ac:dyDescent="0.2">
      <c r="A21" s="2" t="s">
        <v>10</v>
      </c>
      <c r="D21">
        <f>I5</f>
        <v>0.92654000000000003</v>
      </c>
    </row>
    <row r="22" spans="1:7" x14ac:dyDescent="0.2">
      <c r="A22" s="2" t="s">
        <v>36</v>
      </c>
      <c r="D22">
        <f>U5</f>
        <v>1.51972</v>
      </c>
    </row>
    <row r="23" spans="1:7" x14ac:dyDescent="0.2">
      <c r="A23" s="2" t="s">
        <v>44</v>
      </c>
      <c r="D23" s="8">
        <v>4.795E-2</v>
      </c>
    </row>
    <row r="24" spans="1:7" x14ac:dyDescent="0.2">
      <c r="A24" s="2" t="s">
        <v>45</v>
      </c>
      <c r="D24">
        <f>D5</f>
        <v>120.18</v>
      </c>
    </row>
    <row r="26" spans="1:7" x14ac:dyDescent="0.2">
      <c r="A26" s="3" t="s">
        <v>46</v>
      </c>
      <c r="D26" s="4" t="s">
        <v>40</v>
      </c>
      <c r="E26" s="4" t="s">
        <v>37</v>
      </c>
      <c r="F26" s="4" t="s">
        <v>38</v>
      </c>
      <c r="G26" s="4" t="s">
        <v>39</v>
      </c>
    </row>
    <row r="27" spans="1:7" x14ac:dyDescent="0.2">
      <c r="A27" s="2" t="s">
        <v>47</v>
      </c>
      <c r="B27" s="4"/>
      <c r="D27" s="6">
        <f>M15*$D$20</f>
        <v>159.54270072992699</v>
      </c>
      <c r="E27" s="6">
        <f>M12*$D$20</f>
        <v>177.21973236009731</v>
      </c>
      <c r="F27" s="6">
        <f>M13*$D$20</f>
        <v>201.72788807785886</v>
      </c>
      <c r="G27" s="6">
        <f>M14*$D$20</f>
        <v>314.74104622871045</v>
      </c>
    </row>
    <row r="28" spans="1:7" x14ac:dyDescent="0.2">
      <c r="A28" s="2" t="s">
        <v>48</v>
      </c>
      <c r="D28" s="6">
        <f>(O15*D21-D22)/D$23</f>
        <v>101.44193117831075</v>
      </c>
      <c r="E28" s="6">
        <f>(O12*D21-D22)/D$23</f>
        <v>144.14586027111577</v>
      </c>
      <c r="F28" s="6">
        <f>(O13*D21-D22)/D$23</f>
        <v>156.93771595411886</v>
      </c>
      <c r="G28" s="6">
        <f>(O14*D21-D22)/D$23</f>
        <v>203.46760792492179</v>
      </c>
    </row>
    <row r="30" spans="1:7" x14ac:dyDescent="0.2">
      <c r="A30" s="3" t="s">
        <v>49</v>
      </c>
    </row>
    <row r="31" spans="1:7" x14ac:dyDescent="0.2">
      <c r="A31" s="2" t="s">
        <v>47</v>
      </c>
      <c r="D31" s="5">
        <f>D27/$D$24-1</f>
        <v>0.32753120926882162</v>
      </c>
      <c r="E31" s="5">
        <f t="shared" ref="E31" si="12">E27/$D$24-1</f>
        <v>0.47461917423945166</v>
      </c>
      <c r="F31" s="5">
        <f>F27/$D$24-1</f>
        <v>0.67854791211398613</v>
      </c>
      <c r="G31" s="5">
        <f t="shared" ref="G31" si="13">G27/$D$24-1</f>
        <v>1.6189136813838445</v>
      </c>
    </row>
    <row r="32" spans="1:7" x14ac:dyDescent="0.2">
      <c r="A32" s="2" t="s">
        <v>48</v>
      </c>
      <c r="D32" s="5">
        <f>D28/$D$24-1</f>
        <v>-0.15591669846637757</v>
      </c>
      <c r="E32" s="5">
        <f t="shared" ref="E32" si="14">E28/$D$24-1</f>
        <v>0.19941637769275888</v>
      </c>
      <c r="F32" s="5">
        <f>F28/$D$24-1</f>
        <v>0.30585551634314245</v>
      </c>
      <c r="G32" s="5">
        <f t="shared" ref="G32" si="15">G28/$D$24-1</f>
        <v>0.6930238635789796</v>
      </c>
    </row>
    <row r="34" spans="1:8" x14ac:dyDescent="0.2">
      <c r="A34" s="4" t="s">
        <v>50</v>
      </c>
      <c r="H34" s="4" t="s">
        <v>67</v>
      </c>
    </row>
    <row r="35" spans="1:8" x14ac:dyDescent="0.2">
      <c r="A35" t="s">
        <v>51</v>
      </c>
      <c r="D35" s="6">
        <f>AVERAGE(E27,E28)</f>
        <v>160.68279631560654</v>
      </c>
      <c r="H35" s="1" t="s">
        <v>68</v>
      </c>
    </row>
    <row r="36" spans="1:8" x14ac:dyDescent="0.2">
      <c r="A36" t="s">
        <v>52</v>
      </c>
      <c r="D36" s="11">
        <v>0.15</v>
      </c>
      <c r="H36" t="s">
        <v>69</v>
      </c>
    </row>
    <row r="37" spans="1:8" x14ac:dyDescent="0.2">
      <c r="A37" t="s">
        <v>53</v>
      </c>
      <c r="D37" s="6">
        <f>D35*(1-D36)</f>
        <v>136.58037686826555</v>
      </c>
      <c r="H37" t="s">
        <v>70</v>
      </c>
    </row>
    <row r="38" spans="1:8" x14ac:dyDescent="0.2">
      <c r="A38" t="s">
        <v>54</v>
      </c>
      <c r="D38" s="7">
        <f>ROUND(D37,0)</f>
        <v>137</v>
      </c>
      <c r="H38" t="s">
        <v>71</v>
      </c>
    </row>
    <row r="39" spans="1:8" x14ac:dyDescent="0.2">
      <c r="A39" t="s">
        <v>49</v>
      </c>
      <c r="D39" s="5">
        <f>D38/D24-1</f>
        <v>0.13995673156931265</v>
      </c>
      <c r="H39" t="s">
        <v>72</v>
      </c>
    </row>
    <row r="40" spans="1:8" x14ac:dyDescent="0.2">
      <c r="A40" t="s">
        <v>55</v>
      </c>
      <c r="D40" s="6">
        <f>D38/D20</f>
        <v>9.1452005847003424</v>
      </c>
      <c r="H40" t="s">
        <v>73</v>
      </c>
    </row>
    <row r="41" spans="1:8" x14ac:dyDescent="0.2">
      <c r="A41" t="s">
        <v>56</v>
      </c>
      <c r="D41" s="6">
        <f>(D38*D23+D22)/D21</f>
        <v>8.7301897381656488</v>
      </c>
      <c r="H41" t="s">
        <v>74</v>
      </c>
    </row>
    <row r="42" spans="1:8" x14ac:dyDescent="0.2">
      <c r="A42" t="s">
        <v>57</v>
      </c>
      <c r="D42" s="8">
        <v>138.75</v>
      </c>
      <c r="H42" t="s">
        <v>75</v>
      </c>
    </row>
    <row r="43" spans="1:8" x14ac:dyDescent="0.2">
      <c r="A43" t="s">
        <v>58</v>
      </c>
      <c r="D43" s="5">
        <f>D38/D42-1</f>
        <v>-1.2612612612612595E-2</v>
      </c>
    </row>
    <row r="46" spans="1:8" x14ac:dyDescent="0.2">
      <c r="A46" s="4" t="s">
        <v>59</v>
      </c>
    </row>
    <row r="47" spans="1:8" x14ac:dyDescent="0.2">
      <c r="A47" s="4" t="s">
        <v>60</v>
      </c>
      <c r="B47" s="4"/>
      <c r="C47" s="4"/>
      <c r="D47" s="4" t="s">
        <v>64</v>
      </c>
      <c r="E47" s="4" t="s">
        <v>65</v>
      </c>
      <c r="F47" s="4" t="s">
        <v>66</v>
      </c>
    </row>
    <row r="48" spans="1:8" x14ac:dyDescent="0.2">
      <c r="A48" t="s">
        <v>61</v>
      </c>
      <c r="D48" s="6">
        <f>D27</f>
        <v>159.54270072992699</v>
      </c>
      <c r="E48" s="6">
        <f>F48-D48</f>
        <v>155.19834549878345</v>
      </c>
      <c r="F48" s="6">
        <f>G27</f>
        <v>314.74104622871045</v>
      </c>
    </row>
    <row r="49" spans="1:6" x14ac:dyDescent="0.2">
      <c r="A49" t="s">
        <v>62</v>
      </c>
      <c r="D49" s="6">
        <f>D28</f>
        <v>101.44193117831075</v>
      </c>
      <c r="E49" s="6">
        <f t="shared" ref="E49:E50" si="16">F49-D49</f>
        <v>102.02567674661104</v>
      </c>
      <c r="F49" s="6">
        <f>G28</f>
        <v>203.46760792492179</v>
      </c>
    </row>
    <row r="50" spans="1:6" x14ac:dyDescent="0.2">
      <c r="A50" t="s">
        <v>63</v>
      </c>
      <c r="D50" s="9">
        <v>95</v>
      </c>
      <c r="E50" s="6">
        <f t="shared" si="16"/>
        <v>68</v>
      </c>
      <c r="F50" s="9">
        <v>163</v>
      </c>
    </row>
  </sheetData>
  <pageMargins left="0.7" right="0.7" top="0.75" bottom="0.75" header="0.3" footer="0.3"/>
  <ignoredErrors>
    <ignoredError sqref="L12 M12:O16 P12:P15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LIPINSKI, LUKE G. (Student)</dc:creator>
  <cp:lastModifiedBy>LIPINSKI, LUKE G. (Student)</cp:lastModifiedBy>
  <dcterms:created xsi:type="dcterms:W3CDTF">2026-10-20T11:33:11Z</dcterms:created>
  <dcterms:modified xsi:type="dcterms:W3CDTF">2026-10-23T18:02:38Z</dcterms:modified>
</cp:coreProperties>
</file>